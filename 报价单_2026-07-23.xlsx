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324" tabRatio="931" firstSheet="0" activeTab="0" autoFilterDateGrouping="1"/>
  </bookViews>
  <sheets>
    <sheet name="食品九厂制冰机保养" sheetId="1" state="visible" r:id="rId1"/>
  </sheets>
  <definedNames>
    <definedName name="_xlnm.Print_Area" localSheetId="0">'食品九厂制冰机保养'!$A$1:$I$25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DBNum2][$RMB]General;[Red][DBNum2][$RMB]General"/>
  </numFmts>
  <fonts count="48">
    <font>
      <name val="宋体"/>
      <charset val="134"/>
      <sz val="12"/>
    </font>
    <font>
      <name val="Arial"/>
      <charset val="134"/>
      <sz val="12"/>
    </font>
    <font>
      <name val="宋体"/>
      <charset val="134"/>
      <b val="1"/>
      <sz val="28"/>
    </font>
    <font>
      <name val="Arial"/>
      <charset val="134"/>
      <b val="1"/>
      <sz val="28"/>
    </font>
    <font>
      <name val="宋体"/>
      <charset val="134"/>
      <b val="1"/>
      <color rgb="FFFF0000"/>
      <sz val="16"/>
    </font>
    <font>
      <name val="宋体"/>
      <charset val="134"/>
      <b val="1"/>
      <sz val="12"/>
    </font>
    <font>
      <name val="宋体"/>
      <charset val="134"/>
      <color theme="1"/>
      <sz val="12"/>
    </font>
    <font>
      <name val="宋体"/>
      <charset val="134"/>
      <sz val="10.5"/>
    </font>
    <font>
      <name val="Segoe UI"/>
      <charset val="134"/>
      <color rgb="FF111F2C"/>
      <sz val="10.5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62"/>
      <sz val="11"/>
    </font>
    <font>
      <name val="宋体"/>
      <charset val="134"/>
      <b val="1"/>
      <color indexed="56"/>
      <sz val="11"/>
    </font>
    <font>
      <name val="宋体"/>
      <charset val="134"/>
      <color indexed="9"/>
      <sz val="11"/>
    </font>
    <font>
      <name val="宋体"/>
      <charset val="134"/>
      <color indexed="2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7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FF0000"/>
      <sz val="12"/>
    </font>
  </fonts>
  <fills count="5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0">
    <xf numFmtId="0" fontId="0" fillId="0" borderId="0"/>
    <xf numFmtId="43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4" borderId="11" applyAlignment="1">
      <alignment vertical="center"/>
    </xf>
    <xf numFmtId="0" fontId="20" fillId="5" borderId="12" applyAlignment="1">
      <alignment vertical="center"/>
    </xf>
    <xf numFmtId="0" fontId="21" fillId="5" borderId="11" applyAlignment="1">
      <alignment vertical="center"/>
    </xf>
    <xf numFmtId="0" fontId="22" fillId="6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16" applyAlignment="1">
      <alignment vertical="center"/>
    </xf>
    <xf numFmtId="0" fontId="32" fillId="0" borderId="17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3" fillId="39" borderId="0" applyAlignment="1">
      <alignment vertical="center"/>
    </xf>
    <xf numFmtId="0" fontId="30" fillId="40" borderId="0" applyAlignment="1">
      <alignment vertical="center"/>
    </xf>
    <xf numFmtId="0" fontId="33" fillId="41" borderId="0" applyAlignment="1">
      <alignment vertical="center"/>
    </xf>
    <xf numFmtId="0" fontId="30" fillId="36" borderId="0" applyAlignment="1">
      <alignment vertical="center"/>
    </xf>
    <xf numFmtId="0" fontId="33" fillId="42" borderId="0" applyAlignment="1">
      <alignment vertical="center"/>
    </xf>
    <xf numFmtId="0" fontId="30" fillId="43" borderId="0" applyAlignment="1">
      <alignment vertical="center"/>
    </xf>
    <xf numFmtId="0" fontId="30" fillId="44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30" fillId="34" borderId="0" applyAlignment="1">
      <alignment vertical="center"/>
    </xf>
    <xf numFmtId="0" fontId="30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47" borderId="0" applyAlignment="1">
      <alignment vertical="center"/>
    </xf>
    <xf numFmtId="0" fontId="33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51" borderId="0" applyAlignment="1">
      <alignment vertical="center"/>
    </xf>
    <xf numFmtId="0" fontId="34" fillId="37" borderId="0" applyAlignment="1">
      <alignment vertical="center"/>
    </xf>
    <xf numFmtId="0" fontId="35" fillId="52" borderId="16" applyAlignment="1">
      <alignment vertical="center"/>
    </xf>
    <xf numFmtId="0" fontId="36" fillId="53" borderId="18" applyAlignment="1">
      <alignment vertical="center"/>
    </xf>
    <xf numFmtId="0" fontId="37" fillId="0" borderId="0" applyAlignment="1">
      <alignment vertical="center"/>
    </xf>
    <xf numFmtId="0" fontId="38" fillId="38" borderId="0" applyAlignment="1">
      <alignment vertical="center"/>
    </xf>
    <xf numFmtId="0" fontId="39" fillId="0" borderId="19" applyAlignment="1">
      <alignment vertical="center"/>
    </xf>
    <xf numFmtId="0" fontId="40" fillId="0" borderId="20" applyAlignment="1">
      <alignment vertical="center"/>
    </xf>
    <xf numFmtId="0" fontId="32" fillId="0" borderId="0" applyAlignment="1">
      <alignment vertical="center"/>
    </xf>
    <xf numFmtId="0" fontId="41" fillId="0" borderId="21" applyAlignment="1">
      <alignment vertical="center"/>
    </xf>
    <xf numFmtId="0" fontId="42" fillId="54" borderId="0" applyAlignment="1">
      <alignment vertical="center"/>
    </xf>
    <xf numFmtId="0" fontId="0" fillId="55" borderId="22" applyAlignment="1">
      <alignment vertical="center"/>
    </xf>
    <xf numFmtId="0" fontId="43" fillId="52" borderId="23" applyAlignment="1">
      <alignment vertical="center"/>
    </xf>
    <xf numFmtId="0" fontId="44" fillId="0" borderId="0" applyAlignment="1">
      <alignment vertical="center"/>
    </xf>
    <xf numFmtId="0" fontId="45" fillId="0" borderId="24" applyAlignment="1">
      <alignment vertical="center"/>
    </xf>
    <xf numFmtId="0" fontId="46" fillId="0" borderId="0" applyAlignment="1">
      <alignment vertical="center"/>
    </xf>
  </cellStyleXfs>
  <cellXfs count="58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" fillId="0" borderId="2" pivotButton="0" quotePrefix="0" xfId="0"/>
    <xf numFmtId="0" fontId="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" fillId="0" borderId="0" pivotButton="0" quotePrefix="0" xfId="0"/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6" fillId="0" borderId="2" applyAlignment="1" pivotButton="0" quotePrefix="1" xfId="0">
      <alignment horizontal="center" vertical="center"/>
    </xf>
    <xf numFmtId="0" fontId="0" fillId="0" borderId="1" pivotButton="0" quotePrefix="0" xfId="0"/>
    <xf numFmtId="164" fontId="6" fillId="0" borderId="2" applyAlignment="1" pivotButton="0" quotePrefix="0" xfId="1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0" borderId="27" pivotButton="0" quotePrefix="0" xfId="0"/>
    <xf numFmtId="165" fontId="5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8" applyAlignment="1" pivotButton="0" quotePrefix="0" xfId="0">
      <alignment vertical="top" wrapText="1"/>
    </xf>
    <xf numFmtId="0" fontId="0" fillId="0" borderId="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60% - Accent1" xfId="55"/>
    <cellStyle name="20% - Accent5" xfId="56"/>
    <cellStyle name="60% - Accent2" xfId="57"/>
    <cellStyle name="20% - Accent6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Bad" xfId="75"/>
    <cellStyle name="Calculation" xfId="76"/>
    <cellStyle name="Check Cell" xfId="77"/>
    <cellStyle name="Explanatory Text" xfId="78"/>
    <cellStyle name="Good" xfId="79"/>
    <cellStyle name="Heading 1" xfId="80"/>
    <cellStyle name="Heading 2" xfId="81"/>
    <cellStyle name="Heading 4" xfId="82"/>
    <cellStyle name="Linked Cell" xfId="83"/>
    <cellStyle name="Neutral" xfId="84"/>
    <cellStyle name="Note" xfId="85"/>
    <cellStyle name="Output" xfId="86"/>
    <cellStyle name="Title" xfId="87"/>
    <cellStyle name="Total" xfId="88"/>
    <cellStyle name="Warning Text" xfId="8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</a:ln>
      </a:spPr>
      <a:bodyPr/>
      <a:lstStyle/>
      <a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I24"/>
  <sheetViews>
    <sheetView tabSelected="1" workbookViewId="0">
      <selection activeCell="D7" sqref="D7"/>
    </sheetView>
  </sheetViews>
  <sheetFormatPr baseColWidth="8" defaultColWidth="9" defaultRowHeight="15.6"/>
  <cols>
    <col width="7.25" customWidth="1" style="39" min="1" max="1"/>
    <col width="16.9" customWidth="1" style="39" min="2" max="2"/>
    <col width="20.4" customWidth="1" style="39" min="3" max="3"/>
    <col width="19.6" customWidth="1" style="39" min="4" max="4"/>
    <col width="14.1" customWidth="1" style="39" min="5" max="5"/>
    <col width="10.375" customWidth="1" style="39" min="6" max="6"/>
    <col width="9.1" customWidth="1" style="39" min="7" max="7"/>
    <col width="13.5" customWidth="1" style="39" min="8" max="8"/>
    <col width="23.375" customWidth="1" style="39" min="9" max="9"/>
    <col width="13.2" customWidth="1" style="5" min="10" max="10"/>
    <col width="9" customWidth="1" style="39" min="11" max="217"/>
  </cols>
  <sheetData>
    <row r="1" ht="36" customHeight="1" s="2">
      <c r="A1" s="6" t="inlineStr">
        <is>
          <t>雪人震巽工程报价单</t>
        </is>
      </c>
    </row>
    <row r="2" ht="41.25" customHeight="1" s="2">
      <c r="A2" s="9" t="inlineStr">
        <is>
          <t xml:space="preserve">报价日期：2026年7月23日（报价有效期30天）　　　项目名称：圣农食品九厂制冰机维修保养报价
　　　　　　　　　　　　　　　　　　　　　　　　　　　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</row>
    <row r="3" ht="34.5" customHeight="1" s="2">
      <c r="A3" s="15" t="inlineStr">
        <is>
          <t>序号</t>
        </is>
      </c>
      <c r="B3" s="15" t="inlineStr">
        <is>
          <t>名称</t>
        </is>
      </c>
      <c r="C3" s="15" t="inlineStr">
        <is>
          <t>规格</t>
        </is>
      </c>
      <c r="D3" s="15" t="inlineStr">
        <is>
          <t>ERP</t>
        </is>
      </c>
      <c r="E3" s="13" t="inlineStr">
        <is>
          <t xml:space="preserve">单价 
(含税13%)      </t>
        </is>
      </c>
      <c r="F3" s="15" t="inlineStr">
        <is>
          <t>单位</t>
        </is>
      </c>
      <c r="G3" s="15" t="inlineStr">
        <is>
          <t>数量</t>
        </is>
      </c>
      <c r="H3" s="13" t="inlineStr">
        <is>
          <t xml:space="preserve">总价
(含税13%)        </t>
        </is>
      </c>
      <c r="I3" s="15" t="inlineStr">
        <is>
          <t>备注</t>
        </is>
      </c>
    </row>
    <row r="4" ht="44.1" customHeight="1" s="2">
      <c r="A4" s="16" t="n">
        <v>1</v>
      </c>
      <c r="B4" s="16" t="inlineStr">
        <is>
          <t>电磁阀线圈</t>
        </is>
      </c>
      <c r="C4" s="16" t="inlineStr">
        <is>
          <t>018F6701</t>
        </is>
      </c>
      <c r="D4" s="16" t="inlineStr">
        <is>
          <t>01140086</t>
        </is>
      </c>
      <c r="E4" s="46" t="n">
        <v>500</v>
      </c>
      <c r="F4" s="46" t="inlineStr">
        <is>
          <t>件</t>
        </is>
      </c>
      <c r="G4" s="16" t="n">
        <v>500</v>
      </c>
      <c r="H4" s="46">
        <f>E4*G4</f>
        <v/>
      </c>
      <c r="I4" s="16" t="inlineStr"/>
    </row>
    <row r="5" ht="44.1" customHeight="1" s="2">
      <c r="A5" s="16" t="n"/>
      <c r="B5" s="16" t="n"/>
      <c r="C5" s="16" t="n"/>
      <c r="D5" s="44" t="n"/>
      <c r="E5" s="46" t="n"/>
      <c r="F5" s="46" t="n"/>
      <c r="G5" s="16" t="n"/>
      <c r="H5" s="46" t="n"/>
      <c r="I5" s="16" t="n"/>
    </row>
    <row r="6" ht="44.1" customHeight="1" s="2">
      <c r="A6" s="16" t="n"/>
      <c r="B6" s="16" t="n"/>
      <c r="C6" s="16" t="n"/>
      <c r="D6" s="44" t="n"/>
      <c r="E6" s="46" t="n"/>
      <c r="F6" s="46" t="n"/>
      <c r="G6" s="16" t="n"/>
      <c r="H6" s="46" t="n"/>
      <c r="I6" s="16" t="n"/>
    </row>
    <row r="7" ht="44.1" customHeight="1" s="2">
      <c r="A7" s="16" t="n"/>
      <c r="B7" s="16" t="n"/>
      <c r="C7" s="16" t="n"/>
      <c r="D7" s="44" t="n"/>
      <c r="E7" s="46" t="n"/>
      <c r="F7" s="46" t="n"/>
      <c r="G7" s="16" t="n"/>
      <c r="H7" s="46" t="n"/>
      <c r="I7" s="16" t="n"/>
    </row>
    <row r="8" ht="44.1" customFormat="1" customHeight="1" s="1">
      <c r="A8" s="16" t="n"/>
      <c r="B8" s="18" t="n"/>
      <c r="C8" s="18" t="n"/>
      <c r="D8" s="18" t="n"/>
      <c r="E8" s="47" t="n"/>
      <c r="F8" s="47" t="n"/>
      <c r="G8" s="18" t="n"/>
      <c r="H8" s="47" t="n"/>
      <c r="I8" s="18" t="n"/>
      <c r="J8" s="20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1" t="n"/>
      <c r="EE8" s="21" t="n"/>
      <c r="EF8" s="21" t="n"/>
      <c r="EG8" s="21" t="n"/>
      <c r="EH8" s="21" t="n"/>
      <c r="EI8" s="21" t="n"/>
      <c r="EJ8" s="21" t="n"/>
      <c r="EK8" s="21" t="n"/>
      <c r="EL8" s="21" t="n"/>
      <c r="EM8" s="21" t="n"/>
      <c r="EN8" s="21" t="n"/>
      <c r="EO8" s="21" t="n"/>
      <c r="EP8" s="21" t="n"/>
      <c r="EQ8" s="21" t="n"/>
      <c r="ER8" s="21" t="n"/>
      <c r="ES8" s="21" t="n"/>
      <c r="ET8" s="21" t="n"/>
      <c r="EU8" s="21" t="n"/>
      <c r="EV8" s="21" t="n"/>
      <c r="EW8" s="21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1" t="n"/>
      <c r="GC8" s="21" t="n"/>
      <c r="GD8" s="21" t="n"/>
      <c r="GE8" s="21" t="n"/>
      <c r="GF8" s="21" t="n"/>
      <c r="GG8" s="21" t="n"/>
      <c r="GH8" s="21" t="n"/>
      <c r="GI8" s="21" t="n"/>
      <c r="GJ8" s="21" t="n"/>
      <c r="GK8" s="21" t="n"/>
      <c r="GL8" s="21" t="n"/>
      <c r="GM8" s="21" t="n"/>
      <c r="GN8" s="21" t="n"/>
      <c r="GO8" s="21" t="n"/>
      <c r="GP8" s="21" t="n"/>
      <c r="GQ8" s="21" t="n"/>
      <c r="GR8" s="21" t="n"/>
      <c r="GS8" s="21" t="n"/>
      <c r="GT8" s="21" t="n"/>
      <c r="GU8" s="21" t="n"/>
      <c r="GV8" s="21" t="n"/>
      <c r="GW8" s="21" t="n"/>
      <c r="GX8" s="21" t="n"/>
      <c r="GY8" s="21" t="n"/>
      <c r="GZ8" s="21" t="n"/>
      <c r="HA8" s="21" t="n"/>
      <c r="HB8" s="21" t="n"/>
      <c r="HC8" s="21" t="n"/>
      <c r="HD8" s="21" t="n"/>
      <c r="HE8" s="21" t="n"/>
      <c r="HF8" s="21" t="n"/>
      <c r="HG8" s="21" t="n"/>
      <c r="HH8" s="21" t="n"/>
      <c r="HI8" s="21" t="n"/>
    </row>
    <row r="9" ht="44.1" customFormat="1" customHeight="1" s="1">
      <c r="A9" s="16" t="n"/>
      <c r="B9" s="18" t="n"/>
      <c r="C9" s="18" t="n"/>
      <c r="D9" s="22" t="n"/>
      <c r="E9" s="47" t="n"/>
      <c r="F9" s="18" t="n"/>
      <c r="G9" s="18" t="n"/>
      <c r="H9" s="47" t="n"/>
      <c r="I9" s="22" t="n"/>
      <c r="J9" s="23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1" t="n"/>
      <c r="EG9" s="21" t="n"/>
      <c r="EH9" s="21" t="n"/>
      <c r="EI9" s="21" t="n"/>
      <c r="EJ9" s="21" t="n"/>
      <c r="EK9" s="21" t="n"/>
      <c r="EL9" s="21" t="n"/>
      <c r="EM9" s="21" t="n"/>
      <c r="EN9" s="21" t="n"/>
      <c r="EO9" s="21" t="n"/>
      <c r="EP9" s="21" t="n"/>
      <c r="EQ9" s="21" t="n"/>
      <c r="ER9" s="21" t="n"/>
      <c r="ES9" s="21" t="n"/>
      <c r="ET9" s="21" t="n"/>
      <c r="EU9" s="21" t="n"/>
      <c r="EV9" s="21" t="n"/>
      <c r="EW9" s="21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1" t="n"/>
      <c r="GC9" s="21" t="n"/>
      <c r="GD9" s="21" t="n"/>
      <c r="GE9" s="21" t="n"/>
      <c r="GF9" s="21" t="n"/>
      <c r="GG9" s="21" t="n"/>
      <c r="GH9" s="21" t="n"/>
      <c r="GI9" s="21" t="n"/>
      <c r="GJ9" s="21" t="n"/>
      <c r="GK9" s="21" t="n"/>
      <c r="GL9" s="21" t="n"/>
      <c r="GM9" s="21" t="n"/>
      <c r="GN9" s="21" t="n"/>
      <c r="GO9" s="21" t="n"/>
      <c r="GP9" s="21" t="n"/>
      <c r="GQ9" s="21" t="n"/>
      <c r="GR9" s="21" t="n"/>
      <c r="GS9" s="21" t="n"/>
      <c r="GT9" s="21" t="n"/>
      <c r="GU9" s="21" t="n"/>
      <c r="GV9" s="21" t="n"/>
      <c r="GW9" s="21" t="n"/>
      <c r="GX9" s="21" t="n"/>
      <c r="GY9" s="21" t="n"/>
      <c r="GZ9" s="21" t="n"/>
      <c r="HA9" s="21" t="n"/>
      <c r="HB9" s="21" t="n"/>
      <c r="HC9" s="21" t="n"/>
      <c r="HD9" s="21" t="n"/>
      <c r="HE9" s="21" t="n"/>
      <c r="HF9" s="21" t="n"/>
      <c r="HG9" s="21" t="n"/>
      <c r="HH9" s="21" t="n"/>
      <c r="HI9" s="21" t="n"/>
    </row>
    <row r="10" ht="44.1" customHeight="1" s="2">
      <c r="A10" s="16" t="n"/>
      <c r="B10" s="16" t="n"/>
      <c r="C10" s="16" t="n"/>
      <c r="D10" s="16" t="n"/>
      <c r="E10" s="46" t="n"/>
      <c r="F10" s="16" t="n"/>
      <c r="G10" s="16" t="n"/>
      <c r="H10" s="46" t="n"/>
      <c r="I10" s="24" t="n"/>
      <c r="J10" s="25" t="n"/>
    </row>
    <row r="11" ht="44.1" customHeight="1" s="2">
      <c r="A11" s="16" t="n"/>
      <c r="B11" s="16" t="n"/>
      <c r="C11" s="16" t="n"/>
      <c r="D11" s="16" t="n"/>
      <c r="E11" s="46" t="n"/>
      <c r="F11" s="16" t="n"/>
      <c r="G11" s="16" t="n"/>
      <c r="H11" s="46" t="n"/>
      <c r="I11" s="24" t="n"/>
      <c r="J11" s="25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  <c r="FD11" s="39" t="n"/>
      <c r="FE11" s="39" t="n"/>
      <c r="FF11" s="39" t="n"/>
      <c r="FG11" s="39" t="n"/>
      <c r="FH11" s="39" t="n"/>
      <c r="FI11" s="39" t="n"/>
      <c r="FJ11" s="39" t="n"/>
      <c r="FK11" s="39" t="n"/>
      <c r="FL11" s="39" t="n"/>
      <c r="FM11" s="39" t="n"/>
      <c r="FN11" s="39" t="n"/>
      <c r="FO11" s="39" t="n"/>
      <c r="FP11" s="39" t="n"/>
      <c r="FQ11" s="39" t="n"/>
      <c r="FR11" s="39" t="n"/>
      <c r="FS11" s="39" t="n"/>
      <c r="FT11" s="39" t="n"/>
      <c r="FU11" s="39" t="n"/>
      <c r="FV11" s="39" t="n"/>
      <c r="FW11" s="39" t="n"/>
      <c r="FX11" s="39" t="n"/>
      <c r="FY11" s="39" t="n"/>
      <c r="FZ11" s="39" t="n"/>
      <c r="GA11" s="39" t="n"/>
      <c r="GB11" s="39" t="n"/>
      <c r="GC11" s="39" t="n"/>
      <c r="GD11" s="39" t="n"/>
      <c r="GE11" s="39" t="n"/>
      <c r="GF11" s="39" t="n"/>
      <c r="GG11" s="39" t="n"/>
      <c r="GH11" s="39" t="n"/>
      <c r="GI11" s="39" t="n"/>
      <c r="GJ11" s="39" t="n"/>
      <c r="GK11" s="39" t="n"/>
      <c r="GL11" s="39" t="n"/>
      <c r="GM11" s="39" t="n"/>
      <c r="GN11" s="39" t="n"/>
      <c r="GO11" s="39" t="n"/>
      <c r="GP11" s="39" t="n"/>
      <c r="GQ11" s="39" t="n"/>
      <c r="GR11" s="39" t="n"/>
      <c r="GS11" s="39" t="n"/>
      <c r="GT11" s="39" t="n"/>
      <c r="GU11" s="39" t="n"/>
      <c r="GV11" s="39" t="n"/>
      <c r="GW11" s="39" t="n"/>
      <c r="GX11" s="39" t="n"/>
      <c r="GY11" s="39" t="n"/>
      <c r="GZ11" s="39" t="n"/>
      <c r="HA11" s="39" t="n"/>
      <c r="HB11" s="39" t="n"/>
      <c r="HC11" s="39" t="n"/>
      <c r="HD11" s="39" t="n"/>
      <c r="HE11" s="39" t="n"/>
      <c r="HF11" s="39" t="n"/>
      <c r="HG11" s="39" t="n"/>
      <c r="HH11" s="39" t="n"/>
      <c r="HI11" s="39" t="n"/>
    </row>
    <row r="12" ht="23.25" customHeight="1" s="2">
      <c r="A12" s="15" t="inlineStr">
        <is>
          <t>合计金额（大写）：</t>
        </is>
      </c>
      <c r="B12" s="48" t="n"/>
      <c r="C12" s="49">
        <f>H12</f>
        <v/>
      </c>
      <c r="D12" s="50" t="n"/>
      <c r="E12" s="48" t="n"/>
      <c r="F12" s="15" t="inlineStr">
        <is>
          <t>合计（小写）：</t>
        </is>
      </c>
      <c r="G12" s="48" t="n"/>
      <c r="H12" s="27">
        <f>SUM(H4:H11)</f>
        <v/>
      </c>
      <c r="I12" s="28" t="n"/>
    </row>
    <row r="13" ht="58" customHeight="1" s="2">
      <c r="A13" s="29" t="inlineStr"/>
      <c r="B13" s="50" t="n"/>
      <c r="C13" s="50" t="n"/>
      <c r="D13" s="50" t="n"/>
      <c r="E13" s="50" t="n"/>
      <c r="F13" s="50" t="n"/>
      <c r="G13" s="50" t="n"/>
      <c r="H13" s="50" t="n"/>
      <c r="I13" s="48" t="n"/>
    </row>
    <row r="14">
      <c r="A14" s="51" t="inlineStr">
        <is>
          <t>卖方（盖章）：福建雪人震巽发展有限公司 法定代表人/委托代理人： 地址：长乐市航城街道里仁工业区（二期） 开户银行：中信银行股份有限公司福州长乐支行 帐 号：7345 3101 8260 0025 327 电 话：0591-28513299 传 真：0591-28765621</t>
        </is>
      </c>
      <c r="D14" s="52" t="n"/>
      <c r="E14" s="34" t="inlineStr">
        <is>
          <t>买方（盖章）：福建圣农食品有限公司 法定代表人/委托代理人： 地址： 开户银行： 帐 号： 电 话： 传 真：</t>
        </is>
      </c>
      <c r="F14" s="53" t="n"/>
      <c r="G14" s="53" t="n"/>
      <c r="H14" s="53" t="n"/>
      <c r="I14" s="54" t="n"/>
    </row>
    <row r="15">
      <c r="A15" s="55" t="n"/>
      <c r="D15" s="52" t="n"/>
      <c r="E15" s="55" t="n"/>
      <c r="I15" s="52" t="n"/>
    </row>
    <row r="16" s="2">
      <c r="A16" s="55" t="n"/>
      <c r="D16" s="52" t="n"/>
      <c r="E16" s="55" t="n"/>
      <c r="I16" s="52" t="n"/>
      <c r="J16" s="5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  <c r="FD16" s="39" t="n"/>
      <c r="FE16" s="39" t="n"/>
      <c r="FF16" s="39" t="n"/>
      <c r="FG16" s="39" t="n"/>
      <c r="FH16" s="39" t="n"/>
      <c r="FI16" s="39" t="n"/>
      <c r="FJ16" s="39" t="n"/>
      <c r="FK16" s="39" t="n"/>
      <c r="FL16" s="39" t="n"/>
      <c r="FM16" s="39" t="n"/>
      <c r="FN16" s="39" t="n"/>
      <c r="FO16" s="39" t="n"/>
      <c r="FP16" s="39" t="n"/>
      <c r="FQ16" s="39" t="n"/>
      <c r="FR16" s="39" t="n"/>
      <c r="FS16" s="39" t="n"/>
      <c r="FT16" s="39" t="n"/>
      <c r="FU16" s="39" t="n"/>
      <c r="FV16" s="39" t="n"/>
      <c r="FW16" s="39" t="n"/>
      <c r="FX16" s="39" t="n"/>
      <c r="FY16" s="39" t="n"/>
      <c r="FZ16" s="39" t="n"/>
      <c r="GA16" s="39" t="n"/>
      <c r="GB16" s="39" t="n"/>
      <c r="GC16" s="39" t="n"/>
      <c r="GD16" s="39" t="n"/>
      <c r="GE16" s="39" t="n"/>
      <c r="GF16" s="39" t="n"/>
      <c r="GG16" s="39" t="n"/>
      <c r="GH16" s="39" t="n"/>
      <c r="GI16" s="39" t="n"/>
      <c r="GJ16" s="39" t="n"/>
      <c r="GK16" s="39" t="n"/>
      <c r="GL16" s="39" t="n"/>
      <c r="GM16" s="39" t="n"/>
      <c r="GN16" s="39" t="n"/>
      <c r="GO16" s="39" t="n"/>
      <c r="GP16" s="39" t="n"/>
      <c r="GQ16" s="39" t="n"/>
      <c r="GR16" s="39" t="n"/>
      <c r="GS16" s="39" t="n"/>
      <c r="GT16" s="39" t="n"/>
      <c r="GU16" s="39" t="n"/>
      <c r="GV16" s="39" t="n"/>
      <c r="GW16" s="39" t="n"/>
      <c r="GX16" s="39" t="n"/>
      <c r="GY16" s="39" t="n"/>
      <c r="GZ16" s="39" t="n"/>
      <c r="HA16" s="39" t="n"/>
      <c r="HB16" s="39" t="n"/>
      <c r="HC16" s="39" t="n"/>
      <c r="HD16" s="39" t="n"/>
      <c r="HE16" s="39" t="n"/>
      <c r="HF16" s="39" t="n"/>
      <c r="HG16" s="39" t="n"/>
      <c r="HH16" s="39" t="n"/>
      <c r="HI16" s="39" t="n"/>
    </row>
    <row r="17">
      <c r="A17" s="55" t="n"/>
      <c r="D17" s="52" t="n"/>
      <c r="E17" s="55" t="n"/>
      <c r="I17" s="52" t="n"/>
    </row>
    <row r="18">
      <c r="A18" s="55" t="n"/>
      <c r="D18" s="52" t="n"/>
      <c r="E18" s="55" t="n"/>
      <c r="I18" s="52" t="n"/>
    </row>
    <row r="19">
      <c r="A19" s="55" t="n"/>
      <c r="D19" s="52" t="n"/>
      <c r="E19" s="55" t="n"/>
      <c r="I19" s="52" t="n"/>
    </row>
    <row r="20">
      <c r="A20" s="55" t="n"/>
      <c r="D20" s="52" t="n"/>
      <c r="E20" s="55" t="n"/>
      <c r="I20" s="52" t="n"/>
    </row>
    <row r="21">
      <c r="A21" s="55" t="n"/>
      <c r="D21" s="52" t="n"/>
      <c r="E21" s="55" t="n"/>
      <c r="I21" s="52" t="n"/>
    </row>
    <row r="22">
      <c r="A22" s="55" t="n"/>
      <c r="D22" s="52" t="n"/>
      <c r="E22" s="55" t="n"/>
      <c r="I22" s="52" t="n"/>
    </row>
    <row r="23">
      <c r="A23" s="55" t="n"/>
      <c r="D23" s="52" t="n"/>
      <c r="E23" s="55" t="n"/>
      <c r="I23" s="52" t="n"/>
    </row>
    <row r="24">
      <c r="A24" s="56" t="n"/>
      <c r="B24" s="45" t="n"/>
      <c r="C24" s="45" t="n"/>
      <c r="D24" s="57" t="n"/>
      <c r="E24" s="56" t="n"/>
      <c r="F24" s="45" t="n"/>
      <c r="G24" s="45" t="n"/>
      <c r="H24" s="45" t="n"/>
      <c r="I24" s="57" t="n"/>
    </row>
  </sheetData>
  <mergeCells count="8">
    <mergeCell ref="F12:G12"/>
    <mergeCell ref="A2:I2"/>
    <mergeCell ref="A13:I13"/>
    <mergeCell ref="A1:I1"/>
    <mergeCell ref="E14:I24"/>
    <mergeCell ref="C12:E12"/>
    <mergeCell ref="A14:D24"/>
    <mergeCell ref="A12:B12"/>
  </mergeCells>
  <printOptions horizontalCentered="1"/>
  <pageMargins left="0" right="0" top="0.35" bottom="0.35" header="0.31" footer="0.31"/>
  <pageSetup orientation="portrait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徐亚威</dc:creator>
  <dcterms:created xsi:type="dcterms:W3CDTF">2001-11-13T15:56:00Z</dcterms:created>
  <dcterms:modified xsi:type="dcterms:W3CDTF">2026-07-23T09:13:26Z</dcterms:modified>
  <cp:lastModifiedBy>咔咔</cp:lastModifiedBy>
  <cp:revision>1</cp:revision>
  <cp:lastPrinted>2017-08-01T03:50:00Z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2052-12.1.0.26373</vt:lpwstr>
  </property>
  <property name="ICV" fmtid="{D5CDD505-2E9C-101B-9397-08002B2CF9AE}" pid="3">
    <vt:lpwstr>057B26706D0E442CB20F7B9ABD53C141_13</vt:lpwstr>
  </property>
  <property name="CalculationRule" fmtid="{D5CDD505-2E9C-101B-9397-08002B2CF9AE}" pid="4">
    <vt:i4>0</vt:i4>
  </property>
</Properties>
</file>