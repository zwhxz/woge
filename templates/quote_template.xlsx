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324" tabRatio="931"/>
  </bookViews>
  <sheets>
    <sheet name="食品九厂制冰机保养" sheetId="26" r:id="rId1"/>
  </sheets>
  <definedNames>
    <definedName name="_xlnm.Print_Area" localSheetId="0">食品九厂制冰机保养!$A$1:$I$25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<sst xmlns="http://schemas.openxmlformats.org/spreadsheetml/2006/main" count="40" uniqueCount="37">
  <si>
    <t>雪人震巽工程报价单</t>
  </si>
  <si>
    <t>报价日期：2026年6月15日（报价有效期30天）　　　项目名称：圣农食品九厂制冰机维修保养报价
　　　　　　　　　　　　　　　　　　　　　　　　　　　　　</t>
  </si>
  <si>
    <t>序号</t>
  </si>
  <si>
    <t>名称</t>
  </si>
  <si>
    <t>规格</t>
  </si>
  <si>
    <t>ERP</t>
  </si>
  <si>
    <r>
      <rPr>
        <b/>
        <sz val="12"/>
        <rFont val="宋体"/>
        <charset val="134"/>
      </rPr>
      <t xml:space="preserve">单价 
</t>
    </r>
    <r>
      <rPr>
        <b/>
        <sz val="12"/>
        <color rgb="FFFF0000"/>
        <rFont val="宋体"/>
        <charset val="134"/>
      </rPr>
      <t xml:space="preserve">(含税13%)     </t>
    </r>
    <r>
      <rPr>
        <b/>
        <sz val="12"/>
        <rFont val="宋体"/>
        <charset val="134"/>
      </rPr>
      <t xml:space="preserve"> </t>
    </r>
  </si>
  <si>
    <t>单位</t>
  </si>
  <si>
    <t>数量</t>
  </si>
  <si>
    <r>
      <rPr>
        <b/>
        <sz val="12"/>
        <rFont val="宋体"/>
        <charset val="134"/>
      </rPr>
      <t xml:space="preserve">总价
</t>
    </r>
    <r>
      <rPr>
        <b/>
        <sz val="12"/>
        <color rgb="FFFF0000"/>
        <rFont val="宋体"/>
        <charset val="134"/>
      </rPr>
      <t xml:space="preserve">(含税13%)        </t>
    </r>
  </si>
  <si>
    <t>备注</t>
  </si>
  <si>
    <t>冷冻油</t>
  </si>
  <si>
    <t>S002</t>
  </si>
  <si>
    <t>升</t>
  </si>
  <si>
    <t>吸气过滤器</t>
  </si>
  <si>
    <t>FRE-48</t>
  </si>
  <si>
    <t>01160025</t>
  </si>
  <si>
    <t>个</t>
  </si>
  <si>
    <t>供液干燥滤芯</t>
  </si>
  <si>
    <t>D-48</t>
  </si>
  <si>
    <t>01160036</t>
  </si>
  <si>
    <t>电磁阀线圈</t>
  </si>
  <si>
    <t>01140086</t>
  </si>
  <si>
    <t>螺旋冰刀</t>
  </si>
  <si>
    <t>把</t>
  </si>
  <si>
    <t>冰刀轴承</t>
  </si>
  <si>
    <t>02090538
3516030064
3516030065
02100079
07010090</t>
  </si>
  <si>
    <t>套</t>
  </si>
  <si>
    <t>系统保压检漏</t>
  </si>
  <si>
    <t>项</t>
  </si>
  <si>
    <t>人工费</t>
  </si>
  <si>
    <t>系统保养、更换冰刀</t>
  </si>
  <si>
    <t>合计金额（大写）：</t>
  </si>
  <si>
    <t>合计（小写）：</t>
  </si>
  <si>
    <r>
      <rPr>
        <b/>
        <sz val="12"/>
        <rFont val="宋体"/>
        <charset val="134"/>
      </rPr>
      <t>方案：</t>
    </r>
    <r>
      <rPr>
        <sz val="12"/>
        <rFont val="宋体"/>
        <charset val="134"/>
      </rPr>
      <t xml:space="preserve">对制冷系统查漏，并处理漏点；对制冷系统进行检查保养、更换吸气过滤器、冷冻油、压缩机油过滤器、更换冰刀及冰刀轴承。
</t>
    </r>
    <r>
      <rPr>
        <b/>
        <sz val="12"/>
        <rFont val="宋体"/>
        <charset val="134"/>
      </rPr>
      <t>施工条件：</t>
    </r>
    <r>
      <rPr>
        <sz val="12"/>
        <rFont val="宋体"/>
        <charset val="134"/>
      </rPr>
      <t>设备保养过程需要停机两天时间。</t>
    </r>
  </si>
  <si>
    <t>卖方（盖章）：福建雪人震巽发展有限公司
法定代表人/委托代理人：
地址：长乐市航城街道里仁工业区（二期）
开户银行：中信银行股份有限公司福州长乐支行
帐　　号：7345 3101 8260 0025 327 
电　　话：0591-28513299
传    真：0591-28765621</t>
  </si>
  <si>
    <t>买方（盖章）：福建圣农食品有限公司 
法定代表人/委托代理人：
地址：
开户银行： 
帐　　号：
电　　话：
传    真：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</si>
</sst>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&quot;-&quot;??_);_(@_)"/>
    <numFmt numFmtId="177" formatCode="[DBNum2][$RMB]General;[Red][DBNum2][$RMB]General"/>
  </numFmts>
  <fonts count="48">
    <font>
      <sz val="12"/>
      <name val="宋体"/>
      <charset val="134"/>
    </font>
    <font>
      <sz val="12"/>
      <name val="Arial"/>
      <charset val="134"/>
    </font>
    <font>
      <b/>
      <sz val="28"/>
      <name val="宋体"/>
      <charset val="134"/>
    </font>
    <font>
      <b/>
      <sz val="28"/>
      <name val="Arial"/>
      <charset val="134"/>
    </font>
    <font>
      <b/>
      <sz val="16"/>
      <color rgb="FFFF0000"/>
      <name val="宋体"/>
      <charset val="134"/>
    </font>
    <font>
      <b/>
      <sz val="12"/>
      <name val="宋体"/>
      <charset val="134"/>
    </font>
    <font>
      <sz val="12"/>
      <color theme="1"/>
      <name val="宋体"/>
      <charset val="134"/>
    </font>
    <font>
      <sz val="10.5"/>
      <name val="宋体"/>
      <charset val="134"/>
    </font>
    <font>
      <sz val="10.5"/>
      <color rgb="FF111F2C"/>
      <name val="Segoe UI"/>
      <charset val="134"/>
    </font>
    <font>
      <b/>
      <sz val="12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color indexed="62"/>
      <name val="宋体"/>
      <charset val="134"/>
    </font>
    <font>
      <b/>
      <sz val="11"/>
      <color indexed="56"/>
      <name val="宋体"/>
      <charset val="134"/>
    </font>
    <font>
      <sz val="11"/>
      <color indexed="9"/>
      <name val="宋体"/>
      <charset val="134"/>
    </font>
    <font>
      <sz val="11"/>
      <color indexed="20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7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sz val="11"/>
      <color indexed="5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b/>
      <sz val="18"/>
      <color indexed="56"/>
      <name val="宋体"/>
      <charset val="134"/>
    </font>
    <font>
      <b/>
      <sz val="11"/>
      <color indexed="8"/>
      <name val="宋体"/>
      <charset val="134"/>
    </font>
    <font>
      <sz val="11"/>
      <color indexed="10"/>
      <name val="宋体"/>
      <charset val="134"/>
    </font>
    <font>
      <b/>
      <sz val="12"/>
      <color rgb="FFFF0000"/>
      <name val="宋体"/>
      <charset val="134"/>
    </font>
  </fonts>
  <fills count="5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90">
    <xf numFmtId="0" fontId="0" fillId="0" borderId="0"/>
    <xf numFmtId="176" fontId="0" fillId="0" borderId="0" applyFont="0" applyFill="0" applyBorder="0" applyAlignment="0" applyProtection="0"/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3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11" applyNumberFormat="0" applyAlignment="0" applyProtection="0">
      <alignment vertical="center"/>
    </xf>
    <xf numFmtId="0" fontId="20" fillId="5" borderId="12" applyNumberFormat="0" applyAlignment="0" applyProtection="0">
      <alignment vertical="center"/>
    </xf>
    <xf numFmtId="0" fontId="21" fillId="5" borderId="11" applyNumberFormat="0" applyAlignment="0" applyProtection="0">
      <alignment vertical="center"/>
    </xf>
    <xf numFmtId="0" fontId="22" fillId="6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16" applyNumberFormat="0" applyAlignment="0" applyProtection="0">
      <alignment vertical="center"/>
    </xf>
    <xf numFmtId="0" fontId="32" fillId="0" borderId="17" applyNumberFormat="0" applyFill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3" fillId="50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3" fillId="51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52" borderId="16" applyNumberFormat="0" applyAlignment="0" applyProtection="0">
      <alignment vertical="center"/>
    </xf>
    <xf numFmtId="0" fontId="36" fillId="53" borderId="18" applyNumberForma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40" fillId="0" borderId="20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54" borderId="0" applyNumberFormat="0" applyBorder="0" applyAlignment="0" applyProtection="0">
      <alignment vertical="center"/>
    </xf>
    <xf numFmtId="0" fontId="0" fillId="55" borderId="22" applyNumberFormat="0" applyFont="0" applyAlignment="0" applyProtection="0">
      <alignment vertical="center"/>
    </xf>
    <xf numFmtId="0" fontId="43" fillId="52" borderId="23" applyNumberFormat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</cellStyleXfs>
  <cellXfs count="44">
    <xf numFmtId="0" fontId="0" fillId="0" borderId="0" xfId="0"/>
    <xf numFmtId="0" fontId="0" fillId="2" borderId="0" xfId="0" applyFont="1" applyFill="1"/>
    <xf numFmtId="0" fontId="0" fillId="0" borderId="0" xfId="0" applyAlignment="1"/>
    <xf numFmtId="0" fontId="1" fillId="0" borderId="0" xfId="0" applyFont="1"/>
    <xf numFmtId="0" fontId="1" fillId="0" borderId="0" xfId="0" applyNumberFormat="1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NumberFormat="1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43" fontId="6" fillId="0" borderId="2" xfId="1" applyNumberFormat="1" applyFont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43" fontId="0" fillId="2" borderId="2" xfId="1" applyNumberFormat="1" applyFont="1" applyFill="1" applyBorder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1" fillId="2" borderId="0" xfId="0" applyFont="1" applyFill="1"/>
    <xf numFmtId="0" fontId="0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7" fontId="5" fillId="0" borderId="2" xfId="0" applyNumberFormat="1" applyFont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center"/>
    </xf>
    <xf numFmtId="0" fontId="1" fillId="0" borderId="2" xfId="0" applyFont="1" applyBorder="1"/>
    <xf numFmtId="0" fontId="5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/>
    </xf>
    <xf numFmtId="0" fontId="0" fillId="0" borderId="4" xfId="0" applyFont="1" applyBorder="1" applyAlignment="1">
      <alignment vertical="top" wrapText="1"/>
    </xf>
    <xf numFmtId="0" fontId="0" fillId="0" borderId="0" xfId="0" applyFont="1" applyAlignment="1">
      <alignment vertical="top"/>
    </xf>
    <xf numFmtId="0" fontId="0" fillId="0" borderId="2" xfId="0" applyFont="1" applyBorder="1" applyAlignment="1">
      <alignment vertical="top"/>
    </xf>
    <xf numFmtId="0" fontId="0" fillId="0" borderId="2" xfId="0" applyNumberFormat="1" applyFont="1" applyBorder="1" applyAlignment="1">
      <alignment vertical="top" wrapText="1"/>
    </xf>
    <xf numFmtId="0" fontId="0" fillId="0" borderId="0" xfId="0" applyNumberFormat="1" applyFont="1" applyAlignment="1">
      <alignment vertical="top"/>
    </xf>
    <xf numFmtId="0" fontId="0" fillId="0" borderId="5" xfId="0" applyNumberFormat="1" applyFont="1" applyBorder="1" applyAlignment="1">
      <alignment vertical="top"/>
    </xf>
    <xf numFmtId="0" fontId="0" fillId="0" borderId="4" xfId="0" applyFont="1" applyBorder="1" applyAlignment="1">
      <alignment vertical="top"/>
    </xf>
    <xf numFmtId="0" fontId="0" fillId="0" borderId="2" xfId="0" applyNumberFormat="1" applyFont="1" applyBorder="1" applyAlignment="1">
      <alignment vertical="top"/>
    </xf>
    <xf numFmtId="0" fontId="1" fillId="0" borderId="0" xfId="0" applyFont="1" applyAlignment="1"/>
    <xf numFmtId="0" fontId="0" fillId="0" borderId="6" xfId="0" applyFont="1" applyBorder="1" applyAlignment="1">
      <alignment vertical="top"/>
    </xf>
    <xf numFmtId="0" fontId="0" fillId="0" borderId="1" xfId="0" applyFont="1" applyBorder="1" applyAlignment="1">
      <alignment vertical="top"/>
    </xf>
    <xf numFmtId="0" fontId="0" fillId="0" borderId="1" xfId="0" applyNumberFormat="1" applyFon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0" fontId="6" fillId="0" borderId="2" xfId="0" applyFont="1" applyFill="1" applyBorder="1" applyAlignment="1" quotePrefix="1">
      <alignment horizontal="center" vertical="center"/>
    </xf>
  </cellXfs>
  <cellStyles count="9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Accent4" xfId="49"/>
    <cellStyle name="40% - Accent6" xfId="50"/>
    <cellStyle name="Input" xfId="51"/>
    <cellStyle name="Heading 3" xfId="52"/>
    <cellStyle name="20% - Accent2" xfId="53"/>
    <cellStyle name="20% - Accent3" xfId="54"/>
    <cellStyle name="60% - Accent1" xfId="55"/>
    <cellStyle name="20% - Accent5" xfId="56"/>
    <cellStyle name="60% - Accent2" xfId="57"/>
    <cellStyle name="20% - Accent6" xfId="58"/>
    <cellStyle name="60% - Accent3" xfId="59"/>
    <cellStyle name="20% - Accent1" xfId="60"/>
    <cellStyle name="40% - Accent1" xfId="61"/>
    <cellStyle name="40% - Accent2" xfId="62"/>
    <cellStyle name="40% - Accent3" xfId="63"/>
    <cellStyle name="40% - Accent4" xfId="64"/>
    <cellStyle name="40% - Accent5" xfId="65"/>
    <cellStyle name="60% - Accent4" xfId="66"/>
    <cellStyle name="60% - Accent5" xfId="67"/>
    <cellStyle name="60% - Accent6" xfId="68"/>
    <cellStyle name="Accent1" xfId="69"/>
    <cellStyle name="Accent2" xfId="70"/>
    <cellStyle name="Accent3" xfId="71"/>
    <cellStyle name="Accent4" xfId="72"/>
    <cellStyle name="Accent5" xfId="73"/>
    <cellStyle name="Accent6" xfId="74"/>
    <cellStyle name="Bad" xfId="75"/>
    <cellStyle name="Calculation" xfId="76"/>
    <cellStyle name="Check Cell" xfId="77"/>
    <cellStyle name="Explanatory Text" xfId="78"/>
    <cellStyle name="Good" xfId="79"/>
    <cellStyle name="Heading 1" xfId="80"/>
    <cellStyle name="Heading 2" xfId="81"/>
    <cellStyle name="Heading 4" xfId="82"/>
    <cellStyle name="Linked Cell" xfId="83"/>
    <cellStyle name="Neutral" xfId="84"/>
    <cellStyle name="Note" xfId="85"/>
    <cellStyle name="Output" xfId="86"/>
    <cellStyle name="Title" xfId="87"/>
    <cellStyle name="Total" xfId="88"/>
    <cellStyle name="Warning Text" xfId="89"/>
  </cellStyles>
  <tableStyles count="0" defaultTableStyle="TableStyleMedium2" defaultPivotStyle="PivotStyleLight16"/>
  <colors>
    <mruColors>
      <color rgb="000000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9525</xdr:colOff>
      <xdr:row>0</xdr:row>
      <xdr:rowOff>9525</xdr:rowOff>
    </xdr:from>
    <xdr:to>
      <xdr:col>2</xdr:col>
      <xdr:colOff>437515</xdr:colOff>
      <xdr:row>1</xdr:row>
      <xdr:rowOff>50165</xdr:rowOff>
    </xdr:to>
    <xdr:pic>
      <xdr:nvPicPr>
        <xdr:cNvPr id="2" name="Picture 175" descr="7AD6D0D5@3271581C_CD2D0C5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525" y="9525"/>
          <a:ext cx="2268220" cy="4978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>
        <a:ln>
          <a:solidFill>
            <a:schemeClr val="tx1"/>
          </a:solidFill>
        </a:ln>
      </a:spPr>
      <a:bodyPr/>
      <a:lstStyle/>
      <a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I24"/>
  <sheetViews>
    <sheetView tabSelected="1" workbookViewId="0">
      <selection activeCell="D7" sqref="D7"/>
    </sheetView>
  </sheetViews>
  <sheetFormatPr defaultColWidth="9" defaultRowHeight="15.6"/>
  <cols>
    <col min="1" max="1" width="7.25" style="3" customWidth="1"/>
    <col min="2" max="2" width="16.9" style="3" customWidth="1"/>
    <col min="3" max="3" width="20.4" style="3" customWidth="1"/>
    <col min="4" max="4" width="19.6" style="3" customWidth="1"/>
    <col min="5" max="5" width="14.1" style="3" customWidth="1"/>
    <col min="6" max="6" width="10.375" style="3" customWidth="1"/>
    <col min="7" max="7" width="9.1" style="4" customWidth="1"/>
    <col min="8" max="8" width="13.5" style="3" customWidth="1"/>
    <col min="9" max="9" width="23.375" style="3" customWidth="1"/>
    <col min="10" max="10" width="13.2" style="5" customWidth="1"/>
    <col min="11" max="217" width="9" style="3"/>
  </cols>
  <sheetData>
    <row r="1" ht="36" customHeight="1" spans="1:217">
      <c r="A1" s="6" t="s">
        <v>0</v>
      </c>
      <c r="B1" s="7"/>
      <c r="C1" s="7"/>
      <c r="D1" s="7"/>
      <c r="E1" s="7"/>
      <c r="F1" s="7"/>
      <c r="G1" s="8"/>
      <c r="H1" s="7"/>
      <c r="I1" s="7"/>
    </row>
    <row r="2" ht="41.25" customHeight="1" spans="1:217">
      <c r="A2" s="9" t="s">
        <v>1</v>
      </c>
      <c r="B2" s="10"/>
      <c r="C2" s="10"/>
      <c r="D2" s="10"/>
      <c r="E2" s="10"/>
      <c r="F2" s="10"/>
      <c r="G2" s="11"/>
      <c r="H2" s="10"/>
      <c r="I2" s="10"/>
    </row>
    <row r="3" ht="34.5" customHeight="1" spans="1:217">
      <c r="A3" s="12" t="s">
        <v>2</v>
      </c>
      <c r="B3" s="12" t="s">
        <v>3</v>
      </c>
      <c r="C3" s="12" t="s">
        <v>4</v>
      </c>
      <c r="D3" s="12" t="s">
        <v>5</v>
      </c>
      <c r="E3" s="13" t="s">
        <v>6</v>
      </c>
      <c r="F3" s="12" t="s">
        <v>7</v>
      </c>
      <c r="G3" s="14" t="s">
        <v>8</v>
      </c>
      <c r="H3" s="13" t="s">
        <v>9</v>
      </c>
      <c r="I3" s="15" t="s">
        <v>10</v>
      </c>
    </row>
    <row r="4" ht="44.1" customHeight="1" spans="1:217">
      <c r="A4" s="16">
        <v>1</v>
      </c>
      <c r="B4" s="16" t="s">
        <v>11</v>
      </c>
      <c r="C4" s="16" t="s">
        <v>12</v>
      </c>
      <c r="D4" s="16">
        <v>971039</v>
      </c>
      <c r="E4" s="17">
        <v>125</v>
      </c>
      <c r="F4" s="17" t="s">
        <v>13</v>
      </c>
      <c r="G4" s="16">
        <v>40</v>
      </c>
      <c r="H4" s="17">
        <f t="shared" ref="H4:H11" si="0">E4*G4</f>
        <v>5000</v>
      </c>
      <c r="I4" s="16"/>
    </row>
    <row r="5" ht="44.1" customHeight="1" spans="1:217">
      <c r="A5" s="16">
        <v>2</v>
      </c>
      <c r="B5" s="16" t="s">
        <v>14</v>
      </c>
      <c r="C5" s="16" t="s">
        <v>15</v>
      </c>
      <c r="D5" s="44" t="s">
        <v>16</v>
      </c>
      <c r="E5" s="17">
        <v>200</v>
      </c>
      <c r="F5" s="17" t="s">
        <v>17</v>
      </c>
      <c r="G5" s="16">
        <v>1</v>
      </c>
      <c r="H5" s="17">
        <f t="shared" si="0"/>
        <v>200</v>
      </c>
      <c r="I5" s="16"/>
    </row>
    <row r="6" ht="44.1" customHeight="1" spans="1:217">
      <c r="A6" s="16">
        <v>3</v>
      </c>
      <c r="B6" s="16" t="s">
        <v>18</v>
      </c>
      <c r="C6" s="16" t="s">
        <v>19</v>
      </c>
      <c r="D6" s="44" t="s">
        <v>20</v>
      </c>
      <c r="E6" s="17">
        <v>180</v>
      </c>
      <c r="F6" s="17" t="s">
        <v>17</v>
      </c>
      <c r="G6" s="16">
        <v>4</v>
      </c>
      <c r="H6" s="17">
        <f t="shared" si="0"/>
        <v>720</v>
      </c>
      <c r="I6" s="16"/>
    </row>
    <row r="7" ht="44.1" customHeight="1" spans="1:217">
      <c r="A7" s="16">
        <v>4</v>
      </c>
      <c r="B7" s="16" t="s">
        <v>21</v>
      </c>
      <c r="C7" s="16"/>
      <c r="D7" s="44" t="s">
        <v>22</v>
      </c>
      <c r="E7" s="17">
        <v>150</v>
      </c>
      <c r="F7" s="17" t="s">
        <v>17</v>
      </c>
      <c r="G7" s="16">
        <v>5</v>
      </c>
      <c r="H7" s="17">
        <f t="shared" si="0"/>
        <v>750</v>
      </c>
      <c r="I7" s="16"/>
    </row>
    <row r="8" s="1" customFormat="1" ht="44.1" customHeight="1" spans="1:217">
      <c r="A8" s="16">
        <v>5</v>
      </c>
      <c r="B8" s="18" t="s">
        <v>23</v>
      </c>
      <c r="C8" s="18"/>
      <c r="D8" s="18">
        <v>3516080032</v>
      </c>
      <c r="E8" s="19">
        <v>9750</v>
      </c>
      <c r="F8" s="19" t="s">
        <v>24</v>
      </c>
      <c r="G8" s="18">
        <v>1</v>
      </c>
      <c r="H8" s="19">
        <f t="shared" si="0"/>
        <v>9750</v>
      </c>
      <c r="I8" s="18"/>
      <c r="J8" s="20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  <c r="FM8" s="21"/>
      <c r="FN8" s="21"/>
      <c r="FO8" s="21"/>
      <c r="FP8" s="21"/>
      <c r="FQ8" s="21"/>
      <c r="FR8" s="21"/>
      <c r="FS8" s="21"/>
      <c r="FT8" s="21"/>
      <c r="FU8" s="21"/>
      <c r="FV8" s="21"/>
      <c r="FW8" s="21"/>
      <c r="FX8" s="21"/>
      <c r="FY8" s="21"/>
      <c r="FZ8" s="21"/>
      <c r="GA8" s="21"/>
      <c r="GB8" s="21"/>
      <c r="GC8" s="21"/>
      <c r="GD8" s="21"/>
      <c r="GE8" s="21"/>
      <c r="GF8" s="21"/>
      <c r="GG8" s="21"/>
      <c r="GH8" s="21"/>
      <c r="GI8" s="21"/>
      <c r="GJ8" s="21"/>
      <c r="GK8" s="21"/>
      <c r="GL8" s="21"/>
      <c r="GM8" s="21"/>
      <c r="GN8" s="21"/>
      <c r="GO8" s="21"/>
      <c r="GP8" s="21"/>
      <c r="GQ8" s="21"/>
      <c r="GR8" s="21"/>
      <c r="GS8" s="21"/>
      <c r="GT8" s="21"/>
      <c r="GU8" s="21"/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</row>
    <row r="9" s="1" customFormat="1" ht="44.1" customHeight="1" spans="1:217">
      <c r="A9" s="16">
        <v>6</v>
      </c>
      <c r="B9" s="18" t="s">
        <v>25</v>
      </c>
      <c r="C9" s="18"/>
      <c r="D9" s="22" t="s">
        <v>26</v>
      </c>
      <c r="E9" s="19">
        <v>1200</v>
      </c>
      <c r="F9" s="18" t="s">
        <v>27</v>
      </c>
      <c r="G9" s="18">
        <v>2</v>
      </c>
      <c r="H9" s="19">
        <f t="shared" si="0"/>
        <v>2400</v>
      </c>
      <c r="I9" s="22"/>
      <c r="J9" s="23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  <c r="FM9" s="21"/>
      <c r="FN9" s="21"/>
      <c r="FO9" s="21"/>
      <c r="FP9" s="21"/>
      <c r="FQ9" s="21"/>
      <c r="FR9" s="21"/>
      <c r="FS9" s="21"/>
      <c r="FT9" s="21"/>
      <c r="FU9" s="21"/>
      <c r="FV9" s="21"/>
      <c r="FW9" s="21"/>
      <c r="FX9" s="21"/>
      <c r="FY9" s="21"/>
      <c r="FZ9" s="21"/>
      <c r="GA9" s="21"/>
      <c r="GB9" s="21"/>
      <c r="GC9" s="21"/>
      <c r="GD9" s="21"/>
      <c r="GE9" s="21"/>
      <c r="GF9" s="21"/>
      <c r="GG9" s="21"/>
      <c r="GH9" s="21"/>
      <c r="GI9" s="21"/>
      <c r="GJ9" s="21"/>
      <c r="GK9" s="21"/>
      <c r="GL9" s="21"/>
      <c r="GM9" s="21"/>
      <c r="GN9" s="21"/>
      <c r="GO9" s="21"/>
      <c r="GP9" s="21"/>
      <c r="GQ9" s="21"/>
      <c r="GR9" s="21"/>
      <c r="GS9" s="21"/>
      <c r="GT9" s="21"/>
      <c r="GU9" s="21"/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</row>
    <row r="10" ht="44.1" customHeight="1" spans="1:217">
      <c r="A10" s="16">
        <v>7</v>
      </c>
      <c r="B10" s="16" t="s">
        <v>28</v>
      </c>
      <c r="C10" s="16"/>
      <c r="D10" s="16"/>
      <c r="E10" s="17">
        <v>3000</v>
      </c>
      <c r="F10" s="16" t="s">
        <v>29</v>
      </c>
      <c r="G10" s="16">
        <v>1</v>
      </c>
      <c r="H10" s="17">
        <f t="shared" si="0"/>
        <v>3000</v>
      </c>
      <c r="I10" s="24"/>
      <c r="J10" s="25"/>
    </row>
    <row r="11" customFormat="1" ht="44.1" customHeight="1" spans="1:217">
      <c r="A11" s="16">
        <v>8</v>
      </c>
      <c r="B11" s="16" t="s">
        <v>30</v>
      </c>
      <c r="C11" s="16" t="s">
        <v>31</v>
      </c>
      <c r="D11" s="16"/>
      <c r="E11" s="17">
        <v>8000</v>
      </c>
      <c r="F11" s="16" t="s">
        <v>29</v>
      </c>
      <c r="G11" s="16">
        <v>1</v>
      </c>
      <c r="H11" s="17">
        <f t="shared" si="0"/>
        <v>8000</v>
      </c>
      <c r="I11" s="24"/>
      <c r="J11" s="25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</row>
    <row r="12" ht="23.25" customHeight="1" spans="1:217">
      <c r="A12" s="12" t="s">
        <v>32</v>
      </c>
      <c r="B12" s="12"/>
      <c r="C12" s="26">
        <f>H12</f>
        <v>29820</v>
      </c>
      <c r="D12" s="26"/>
      <c r="E12" s="26"/>
      <c r="F12" s="12" t="s">
        <v>33</v>
      </c>
      <c r="G12" s="14"/>
      <c r="H12" s="27">
        <f>SUM(H4:H11)</f>
        <v>29820</v>
      </c>
      <c r="I12" s="28"/>
    </row>
    <row r="13" ht="58" customHeight="1" spans="1:217">
      <c r="A13" s="29" t="s">
        <v>34</v>
      </c>
      <c r="B13" s="30"/>
      <c r="C13" s="30"/>
      <c r="D13" s="30"/>
      <c r="E13" s="30"/>
      <c r="F13" s="30"/>
      <c r="G13" s="30"/>
      <c r="H13" s="30"/>
      <c r="I13" s="30"/>
    </row>
    <row r="14" spans="1:217">
      <c r="A14" s="31" t="s">
        <v>35</v>
      </c>
      <c r="B14" s="32"/>
      <c r="C14" s="33"/>
      <c r="D14" s="33"/>
      <c r="E14" s="34" t="s">
        <v>36</v>
      </c>
      <c r="F14" s="35"/>
      <c r="G14" s="35"/>
      <c r="H14" s="35"/>
      <c r="I14" s="36"/>
    </row>
    <row r="15" spans="1:217">
      <c r="A15" s="37"/>
      <c r="B15" s="32"/>
      <c r="C15" s="33"/>
      <c r="D15" s="33"/>
      <c r="E15" s="38"/>
      <c r="F15" s="35"/>
      <c r="G15" s="35"/>
      <c r="H15" s="35"/>
      <c r="I15" s="36"/>
    </row>
    <row r="16" s="2" customFormat="1" spans="1:217">
      <c r="A16" s="37"/>
      <c r="B16" s="32"/>
      <c r="C16" s="33"/>
      <c r="D16" s="33"/>
      <c r="E16" s="38"/>
      <c r="F16" s="35"/>
      <c r="G16" s="35"/>
      <c r="H16" s="35"/>
      <c r="I16" s="36"/>
      <c r="J16" s="5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</row>
    <row r="17" spans="1:9">
      <c r="A17" s="37"/>
      <c r="B17" s="32"/>
      <c r="C17" s="33"/>
      <c r="D17" s="33"/>
      <c r="E17" s="38"/>
      <c r="F17" s="35"/>
      <c r="G17" s="35"/>
      <c r="H17" s="35"/>
      <c r="I17" s="36"/>
    </row>
    <row r="18" spans="1:9">
      <c r="A18" s="37"/>
      <c r="B18" s="32"/>
      <c r="C18" s="33"/>
      <c r="D18" s="33"/>
      <c r="E18" s="38"/>
      <c r="F18" s="36"/>
      <c r="G18" s="35"/>
      <c r="H18" s="35"/>
      <c r="I18" s="36"/>
    </row>
    <row r="19" spans="1:9">
      <c r="A19" s="37"/>
      <c r="B19" s="32"/>
      <c r="C19" s="33"/>
      <c r="D19" s="33"/>
      <c r="E19" s="38"/>
      <c r="F19" s="35"/>
      <c r="G19" s="35"/>
      <c r="H19" s="35"/>
      <c r="I19" s="36"/>
    </row>
    <row r="20" spans="1:9">
      <c r="A20" s="37"/>
      <c r="B20" s="32"/>
      <c r="C20" s="33"/>
      <c r="D20" s="33"/>
      <c r="E20" s="38"/>
      <c r="F20" s="35"/>
      <c r="G20" s="35"/>
      <c r="H20" s="35"/>
      <c r="I20" s="36"/>
    </row>
    <row r="21" spans="1:9">
      <c r="A21" s="37"/>
      <c r="B21" s="32"/>
      <c r="C21" s="33"/>
      <c r="D21" s="33"/>
      <c r="E21" s="38"/>
      <c r="F21" s="35"/>
      <c r="G21" s="35"/>
      <c r="H21" s="35"/>
      <c r="I21" s="36"/>
    </row>
    <row r="22" spans="1:9">
      <c r="A22" s="37"/>
      <c r="B22" s="32"/>
      <c r="C22" s="33"/>
      <c r="D22" s="33"/>
      <c r="E22" s="38"/>
      <c r="F22" s="35"/>
      <c r="G22" s="35"/>
      <c r="H22" s="35"/>
      <c r="I22" s="36"/>
    </row>
    <row r="23" spans="1:9">
      <c r="A23" s="37"/>
      <c r="B23" s="32"/>
      <c r="C23" s="33"/>
      <c r="D23" s="33"/>
      <c r="E23" s="38"/>
      <c r="F23" s="35"/>
      <c r="G23" s="35"/>
      <c r="H23" s="35"/>
      <c r="I23" s="36"/>
    </row>
    <row r="24" spans="1:9">
      <c r="A24" s="40"/>
      <c r="B24" s="41"/>
      <c r="C24" s="33"/>
      <c r="D24" s="33"/>
      <c r="E24" s="38"/>
      <c r="F24" s="42"/>
      <c r="G24" s="42"/>
      <c r="H24" s="42"/>
      <c r="I24" s="43"/>
    </row>
  </sheetData>
  <mergeCells count="8">
    <mergeCell ref="A1:I1"/>
    <mergeCell ref="A2:I2"/>
    <mergeCell ref="A12:B12"/>
    <mergeCell ref="C12:E12"/>
    <mergeCell ref="F12:G12"/>
    <mergeCell ref="A13:I13"/>
    <mergeCell ref="E14:I24"/>
    <mergeCell ref="A14:D24"/>
  </mergeCells>
  <printOptions horizontalCentered="1"/>
  <pageMargins left="0" right="0" top="0.35" bottom="0.35" header="0.31" footer="0.31"/>
  <pageSetup paperSize="9" scale="73" orientation="portrait"/>
  <headerFooter alignWithMargins="0" scaleWithDoc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食品九厂制冰机保养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徐亚威</dc:creator>
  <cp:lastModifiedBy>咔咔</cp:lastModifiedBy>
  <cp:revision>1</cp:revision>
  <dcterms:created xsi:type="dcterms:W3CDTF">2001-11-13T15:56:00Z</dcterms:created>
  <cp:lastPrinted>2017-08-01T03:50:00Z</cp:lastPrinted>
  <dcterms:modified xsi:type="dcterms:W3CDTF">2026-07-21T08:25:15Z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2052-12.1.0.26373</vt:lpwstr>
  </property>
  <property fmtid="{D5CDD505-2E9C-101B-9397-08002B2CF9AE}" pid="3" name="ICV">
    <vt:lpwstr>057B26706D0E442CB20F7B9ABD53C141_13</vt:lpwstr>
  </property>
  <property fmtid="{D5CDD505-2E9C-101B-9397-08002B2CF9AE}" pid="4" name="CalculationRule">
    <vt:i4>0</vt:i4>
  </property>
</Properties>
</file>